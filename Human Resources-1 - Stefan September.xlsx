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74" documentId="8_{244C8E35-DAB8-414E-8848-0040370C00FC}" xr6:coauthVersionLast="47" xr6:coauthVersionMax="47" xr10:uidLastSave="{DF5E7D97-D597-472D-AD6E-89F507BB491D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G22" i="3"/>
  <c r="F22" i="3"/>
  <c r="I22" i="3" s="1"/>
  <c r="H21" i="3"/>
  <c r="G21" i="3"/>
  <c r="F21" i="3"/>
  <c r="I21" i="3" s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<sst xmlns="http://schemas.openxmlformats.org/spreadsheetml/2006/main" count="102" uniqueCount="43">
  <si>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</si>
  <si>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</si>
  <si>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</si>
  <si>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</si>
  <si>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</si>
  <si>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</si>
  <si>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</si>
  <si>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</si>
  <si>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</si>
  <si>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</si>
  <si>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</si>
  <si>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</si>
  <si>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</si>
  <si>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</si>
  <si>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</si>
  <si>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</si>
  <si>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</si>
  <si>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</si>
  <si>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</si>
  <si>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</si>
  <si>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</si>
  <si>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</si>
  <si>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</si>
  <si>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</si>
  <si>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</si>
  <si>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</si>
  <si>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</si>
  <si>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</si>
  <si>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</si>
  <si>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</si>
  <si>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</si>
  <si>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</si>
  <si>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</si>
  <si>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</si>
  <si>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</si>
  <si>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Start Date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</si>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</sst>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J29" sqref="J29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F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6" name="Managers"/>
  </protectedRanges>
  <hyperlinks>
    <hyperlink ref="F3" r:id="rId1" xr:uid="{493D42EE-15EA-48D3-85EC-0B316D7884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A3" workbookViewId="0">
      <selection activeCell="E9" sqref="E9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" bestFit="1" customWidth="1"/>
    <col min="6" max="7" width="13" bestFit="1" customWidth="1"/>
    <col min="8" max="8" width="11.85546875" bestFit="1" customWidth="1"/>
    <col min="9" max="9" width="13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  <c r="E3" t="s">
        <v>35</v>
      </c>
    </row>
    <row r="4" spans="1:10">
      <c r="A4" t="s">
        <v>6</v>
      </c>
      <c r="B4" t="s">
        <v>36</v>
      </c>
      <c r="C4" s="26">
        <v>37864</v>
      </c>
      <c r="D4" t="s">
        <v>37</v>
      </c>
      <c r="F4" s="20"/>
      <c r="G4" s="20"/>
      <c r="H4" s="20"/>
    </row>
    <row r="5" spans="1:10">
      <c r="A5" t="s">
        <v>7</v>
      </c>
      <c r="B5" t="s">
        <v>36</v>
      </c>
      <c r="C5" s="26">
        <v>26148</v>
      </c>
      <c r="D5" t="s">
        <v>38</v>
      </c>
      <c r="F5" s="20"/>
      <c r="G5" s="20"/>
      <c r="H5" s="20"/>
    </row>
    <row r="6" spans="1:10">
      <c r="A6" t="s">
        <v>8</v>
      </c>
      <c r="B6" t="s">
        <v>39</v>
      </c>
      <c r="C6" s="26">
        <v>26345</v>
      </c>
      <c r="D6" t="s">
        <v>40</v>
      </c>
      <c r="F6" s="20"/>
      <c r="G6" s="20"/>
      <c r="H6" s="20"/>
    </row>
    <row r="7" spans="1:10">
      <c r="A7" t="s">
        <v>9</v>
      </c>
      <c r="B7" t="s">
        <v>39</v>
      </c>
      <c r="C7" s="26">
        <v>23562</v>
      </c>
      <c r="D7" t="s">
        <v>37</v>
      </c>
      <c r="H7" s="20"/>
    </row>
    <row r="8" spans="1:10">
      <c r="A8" t="s">
        <v>10</v>
      </c>
      <c r="B8" t="s">
        <v>36</v>
      </c>
      <c r="C8" s="26">
        <v>19888</v>
      </c>
      <c r="D8" t="s">
        <v>40</v>
      </c>
      <c r="H8" s="20"/>
    </row>
    <row r="9" spans="1:10">
      <c r="A9" t="s">
        <v>11</v>
      </c>
      <c r="B9" t="s">
        <v>36</v>
      </c>
      <c r="C9" s="26">
        <v>32918</v>
      </c>
      <c r="D9" t="s">
        <v>38</v>
      </c>
      <c r="H9" s="20"/>
      <c r="J9" s="19"/>
    </row>
    <row r="10" spans="1:10">
      <c r="A10" t="s">
        <v>12</v>
      </c>
      <c r="B10" t="s">
        <v>36</v>
      </c>
      <c r="C10" s="26">
        <v>18931</v>
      </c>
      <c r="D10" t="s">
        <v>37</v>
      </c>
      <c r="H10" s="20"/>
      <c r="J10" s="19"/>
    </row>
    <row r="11" spans="1:10">
      <c r="A11" t="s">
        <v>13</v>
      </c>
      <c r="B11" t="s">
        <v>36</v>
      </c>
      <c r="C11" s="26">
        <v>32829</v>
      </c>
      <c r="D11" t="s">
        <v>37</v>
      </c>
      <c r="H11" s="20"/>
      <c r="J11" s="21"/>
    </row>
    <row r="12" spans="1:10">
      <c r="A12" t="s">
        <v>14</v>
      </c>
      <c r="B12" t="s">
        <v>36</v>
      </c>
      <c r="C12" s="26">
        <v>38296</v>
      </c>
      <c r="D12" t="s">
        <v>38</v>
      </c>
      <c r="H12" s="20"/>
    </row>
    <row r="13" spans="1:10">
      <c r="A13" t="s">
        <v>15</v>
      </c>
      <c r="B13" t="s">
        <v>39</v>
      </c>
      <c r="C13" s="26">
        <v>28554</v>
      </c>
      <c r="D13" t="s">
        <v>37</v>
      </c>
      <c r="H13" s="20"/>
      <c r="J13" s="22"/>
    </row>
    <row r="14" spans="1:10">
      <c r="A14" t="s">
        <v>16</v>
      </c>
      <c r="B14" t="s">
        <v>36</v>
      </c>
      <c r="C14" s="26">
        <v>27368</v>
      </c>
      <c r="D14" t="s">
        <v>40</v>
      </c>
      <c r="H14" s="20"/>
      <c r="J14" s="19"/>
    </row>
    <row r="15" spans="1:10">
      <c r="A15" t="s">
        <v>17</v>
      </c>
      <c r="B15" t="s">
        <v>39</v>
      </c>
      <c r="C15" s="26">
        <v>20850</v>
      </c>
      <c r="D15" t="s">
        <v>38</v>
      </c>
      <c r="H15" s="20"/>
    </row>
    <row r="16" spans="1:10">
      <c r="A16" t="s">
        <v>18</v>
      </c>
      <c r="B16" t="s">
        <v>36</v>
      </c>
      <c r="C16" s="26">
        <v>19345</v>
      </c>
      <c r="D16" t="s">
        <v>38</v>
      </c>
      <c r="H16" s="20"/>
    </row>
    <row r="17" spans="1:9">
      <c r="A17" t="s">
        <v>19</v>
      </c>
      <c r="B17" t="s">
        <v>39</v>
      </c>
      <c r="C17" s="26">
        <v>38158</v>
      </c>
      <c r="D17" t="s">
        <v>37</v>
      </c>
    </row>
    <row r="18" spans="1:9">
      <c r="A18" s="6" t="s">
        <v>27</v>
      </c>
      <c r="B18" s="6"/>
      <c r="C18" s="27">
        <f>SUM(C4:C17)</f>
        <v>391056</v>
      </c>
      <c r="D18" s="6"/>
    </row>
    <row r="20" spans="1:9">
      <c r="A20" s="3" t="s">
        <v>34</v>
      </c>
      <c r="B20" s="3" t="s">
        <v>33</v>
      </c>
      <c r="C20" s="3" t="s">
        <v>41</v>
      </c>
      <c r="E20" s="3" t="s">
        <v>34</v>
      </c>
      <c r="F20" t="s">
        <v>37</v>
      </c>
      <c r="G20" t="s">
        <v>38</v>
      </c>
      <c r="H20" t="s">
        <v>40</v>
      </c>
      <c r="I20" s="6" t="s">
        <v>42</v>
      </c>
    </row>
    <row r="21" spans="1:9">
      <c r="A21" t="s">
        <v>37</v>
      </c>
      <c r="B21" s="25">
        <f>SUMIF($D$4:$D$17,A21,$C$4:$C$17)</f>
        <v>179898</v>
      </c>
      <c r="C21">
        <f>COUNTIF($D$4:$D$17,A21)</f>
        <v>6</v>
      </c>
      <c r="E21" s="3" t="s">
        <v>33</v>
      </c>
      <c r="F21" s="25">
        <f>SUMIF($D$4:$D$17,F20,$C$4:$C$17)</f>
        <v>179898</v>
      </c>
      <c r="G21" s="25">
        <f>SUMIF($D$4:$D$17,G20,$C$4:$C$17)</f>
        <v>137557</v>
      </c>
      <c r="H21" s="25">
        <f>SUMIF($D$4:$D$17,H20,$C$4:$C$17)</f>
        <v>73601</v>
      </c>
      <c r="I21" s="28">
        <f>SUM(F21:H21)</f>
        <v>391056</v>
      </c>
    </row>
    <row r="22" spans="1:9">
      <c r="A22" t="s">
        <v>38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 t="s">
        <v>41</v>
      </c>
      <c r="F22">
        <f>COUNTIF($D$4:$D$17,F20)</f>
        <v>6</v>
      </c>
      <c r="G22">
        <f>COUNTIF($D$4:$D$17,G20)</f>
        <v>5</v>
      </c>
      <c r="H22">
        <f>COUNTIF($D$4:$D$17,H20)</f>
        <v>3</v>
      </c>
      <c r="I22" s="7">
        <f>SUM(F22:H22)</f>
        <v>14</v>
      </c>
    </row>
    <row r="23" spans="1:9">
      <c r="A23" t="s">
        <v>40</v>
      </c>
      <c r="B23" s="25">
        <f t="shared" si="0"/>
        <v>73601</v>
      </c>
      <c r="C23">
        <f t="shared" si="1"/>
        <v>3</v>
      </c>
    </row>
    <row r="24" spans="1:9">
      <c r="A24" s="6" t="s">
        <v>42</v>
      </c>
      <c r="B24" s="28">
        <f>SUM(B21:B23)</f>
        <v>391056</v>
      </c>
      <c r="C24" s="7">
        <f>SUM(C21:C23)</f>
        <v>14</v>
      </c>
    </row>
    <row r="26" spans="1:9">
      <c r="A26" s="3" t="s">
        <v>32</v>
      </c>
      <c r="B26" s="3" t="s">
        <v>33</v>
      </c>
      <c r="C26" s="3" t="s">
        <v>41</v>
      </c>
    </row>
    <row r="27" spans="1:9">
      <c r="A27" t="s">
        <v>36</v>
      </c>
      <c r="B27" s="25">
        <f>SUMIF($B$4:$B$17,A27,$C$4:$C$17)</f>
        <v>253587</v>
      </c>
      <c r="C27">
        <f>COUNTIF(B4:B17,A27)</f>
        <v>9</v>
      </c>
    </row>
    <row r="28" spans="1:9">
      <c r="A28" t="s">
        <v>39</v>
      </c>
      <c r="B28" s="25">
        <f>SUMIF($B$4:$B$17,A28,$C$4:$C$17)</f>
        <v>137469</v>
      </c>
      <c r="C28">
        <f>COUNTIF(B5:B17,A28)</f>
        <v>5</v>
      </c>
    </row>
    <row r="29" spans="1:9">
      <c r="A29" s="6" t="s">
        <v>42</v>
      </c>
      <c r="B29" s="28">
        <f>SUM(B27:B28)</f>
        <v>391056</v>
      </c>
      <c r="C29" s="7">
        <f>SUM(C27:C28)</f>
        <v>14</v>
      </c>
    </row>
  </sheetData>
  <dataValidations count="4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allowBlank="1" showInputMessage="1" showErrorMessage="1" sqref="J13:L45 F23:I45 F13:G19 I13:I19 H17:H19" xr:uid="{D030D69D-5A15-421E-BBED-103894BDC004}"/>
    <dataValidation type="list" allowBlank="1" showInputMessage="1" showErrorMessage="1" prompt="Please choose departament." sqref="D4:D17" xr:uid="{ABE2CD06-CBBE-4763-AB3C-DAC81B1A8235}">
      <formula1>"Sales, Logistics, Purchasing"</formula1>
    </dataValidation>
    <dataValidation type="date" allowBlank="1" showInputMessage="1" showErrorMessage="1" error="Please choose a normal date" prompt="Enter date of employment." sqref="E4:E17" xr:uid="{639873F1-39A5-46A5-88D2-548487897BEA}">
      <formula1>36526</formula1>
      <formula2>46031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D046EBA4-A48F-4B87-983F-C1DC2C25D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Stefan Porosanu</cp:lastModifiedBy>
  <cp:revision/>
  <dcterms:created xsi:type="dcterms:W3CDTF">2009-08-25T13:44:58Z</dcterms:created>
  <dcterms:modified xsi:type="dcterms:W3CDTF">2026-09-17T11:18:43Z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