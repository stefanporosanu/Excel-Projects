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67" documentId="11_2779F9B2FCDC5B6E264834899AD3CC78A628D2C5" xr6:coauthVersionLast="47" xr6:coauthVersionMax="47" xr10:uidLastSave="{4E3C59E9-326E-4E7D-8B41-FAD58CD4BC63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 a="1"/>
  <c r="F25" i="1"/>
  <c r="E25" i="1" a="1"/>
  <c r="E25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4" i="1" a="1"/>
  <c r="F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<sst xmlns="http://schemas.openxmlformats.org/spreadsheetml/2006/main" count="52" uniqueCount="52">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</sst>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H13" sqref="H13"/>
    </sheetView>
  </sheetViews>
  <sheetFormatPr defaultRowHeight="15"/>
  <cols>
    <col min="1" max="1" width="42.5703125" bestFit="1" customWidth="1"/>
    <col min="2" max="2" width="19" bestFit="1" customWidth="1"/>
    <col min="3" max="3" width="9.140625" bestFit="1" customWidth="1"/>
    <col min="4" max="4" width="8.85546875" bestFit="1" customWidth="1"/>
    <col min="5" max="5" width="19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cm="1">
        <f t="array" ref="E4">_xlfn.SWITCH(D4,1,95, 2, 110, 3,129,4,156,5,"157 and over", "Unknown cateogory")</f>
        <v>129</v>
      </c>
      <c r="F4" cm="1">
        <f t="array" ref="F4">_xlfn.SWITCH(D4,$H$10,$I$10,$H$9,$I$9,$H$8,$I$8,$H$7,$I$7,$H$6,$I$6,"Unknown category")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cm="1">
        <f t="array" ref="E5">_xlfn.SWITCH(D5,1,95, 2, 110, 3,129,4,156,5,"157 and over", "Unknown cateogory")</f>
        <v>129</v>
      </c>
      <c r="F5" cm="1">
        <f t="array" ref="F5">_xlfn.SWITCH(D5,$H$10,$I$10,$H$9,$I$9,$H$8,$I$8,$H$7,$I$7,$H$6,$I$6,"Unknown category")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cm="1">
        <f t="array" ref="E6">_xlfn.SWITCH(D6,1,95, 2, 110, 3,129,4,156,5,"157 and over", "Unknown cateogory")</f>
        <v>156</v>
      </c>
      <c r="F6" cm="1">
        <f t="array" ref="F6">_xlfn.SWITCH(D6,$H$10,$I$10,$H$9,$I$9,$H$8,$I$8,$H$7,$I$7,$H$6,$I$6,"Unknown category")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cm="1">
        <f t="array" ref="E7">_xlfn.SWITCH(D7,1,95, 2, 110, 3,129,4,156,5,"157 and over", "Unknown cateogory")</f>
        <v>156</v>
      </c>
      <c r="F7" cm="1">
        <f t="array" ref="F7">_xlfn.SWITCH(D7,$H$10,$I$10,$H$9,$I$9,$H$8,$I$8,$H$7,$I$7,$H$6,$I$6,"Unknown category")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cm="1">
        <f t="array" ref="E8">_xlfn.SWITCH(D8,1,95, 2, 110, 3,129,4,156,5,"157 and over", "Unknown cateogory")</f>
        <v>156</v>
      </c>
      <c r="F8" cm="1">
        <f t="array" ref="F8">_xlfn.SWITCH(D8,$H$10,$I$10,$H$9,$I$9,$H$8,$I$8,$H$7,$I$7,$H$6,$I$6,"Unknown category")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cm="1">
        <f t="array" ref="E9">_xlfn.SWITCH(D9,1,95, 2, 110, 3,129,4,156,5,"157 and over", "Unknown cateogory")</f>
        <v>129</v>
      </c>
      <c r="F9" cm="1">
        <f t="array" ref="F9">_xlfn.SWITCH(D9,$H$10,$I$10,$H$9,$I$9,$H$8,$I$8,$H$7,$I$7,$H$6,$I$6,"Unknown category")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_xlfn.SWITCH(D10,1,95, 2, 110, 3,129,4,156,5,"157 and over", "Unknown cateogory")</f>
        <v>157 and over</v>
      </c>
      <c r="F10" t="str" cm="1">
        <f t="array" ref="F10">_xlfn.SWITCH(D10,$H$10,$I$10,$H$9,$I$9,$H$8,$I$8,$H$7,$I$7,$H$6,$I$6,"Unknown category")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cm="1">
        <f t="array" ref="E11">_xlfn.SWITCH(D11,1,95, 2, 110, 3,129,4,156,5,"157 and over", "Unknown cateogory")</f>
        <v>156</v>
      </c>
      <c r="F11" cm="1">
        <f t="array" ref="F11">_xlfn.SWITCH(D11,$H$10,$I$10,$H$9,$I$9,$H$8,$I$8,$H$7,$I$7,$H$6,$I$6,"Unknown category")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cm="1">
        <f t="array" ref="E12">_xlfn.SWITCH(D12,1,95, 2, 110, 3,129,4,156,5,"157 and over", "Unknown cateogory")</f>
        <v>156</v>
      </c>
      <c r="F12" cm="1">
        <f t="array" ref="F12">_xlfn.SWITCH(D12,$H$10,$I$10,$H$9,$I$9,$H$8,$I$8,$H$7,$I$7,$H$6,$I$6,"Unknown category")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_xlfn.SWITCH(D13,1,95, 2, 110, 3,129,4,156,5,"157 and over", "Unknown cateogory")</f>
        <v>157 and over</v>
      </c>
      <c r="F13" t="str" cm="1">
        <f t="array" ref="F13">_xlfn.SWITCH(D13,$H$10,$I$10,$H$9,$I$9,$H$8,$I$8,$H$7,$I$7,$H$6,$I$6,"Unknown category")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cm="1">
        <f t="array" ref="E14">_xlfn.SWITCH(D14,1,95, 2, 110, 3,129,4,156,5,"157 and over", "Unknown cateogory")</f>
        <v>110</v>
      </c>
      <c r="F14" cm="1">
        <f t="array" ref="F14">_xlfn.SWITCH(D14,$H$10,$I$10,$H$9,$I$9,$H$8,$I$8,$H$7,$I$7,$H$6,$I$6,"Unknown category")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cm="1">
        <f t="array" ref="E15">_xlfn.SWITCH(D15,1,95, 2, 110, 3,129,4,156,5,"157 and over", "Unknown cateogory")</f>
        <v>95</v>
      </c>
      <c r="F15" cm="1">
        <f t="array" ref="F15">_xlfn.SWITCH(D15,$H$10,$I$10,$H$9,$I$9,$H$8,$I$8,$H$7,$I$7,$H$6,$I$6,"Unknown category")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cm="1">
        <f t="array" ref="E16">_xlfn.SWITCH(D16,1,95, 2, 110, 3,129,4,156,5,"157 and over", "Unknown cateogory")</f>
        <v>156</v>
      </c>
      <c r="F16" cm="1">
        <f t="array" ref="F16">_xlfn.SWITCH(D16,$H$10,$I$10,$H$9,$I$9,$H$8,$I$8,$H$7,$I$7,$H$6,$I$6,"Unknown category")</f>
        <v>156</v>
      </c>
    </row>
    <row r="17" spans="1:6">
      <c r="A17" t="s">
        <v>36</v>
      </c>
      <c r="B17" t="s">
        <v>37</v>
      </c>
      <c r="C17" s="3">
        <v>1800</v>
      </c>
      <c r="D17">
        <v>2</v>
      </c>
      <c r="E17" s="6" cm="1">
        <f t="array" ref="E17">_xlfn.SWITCH(D17,1,95, 2, 110, 3,129,4,156,5,"157 and over", "Unknown cateogory")</f>
        <v>110</v>
      </c>
      <c r="F17" cm="1">
        <f t="array" ref="F17">_xlfn.SWITCH(D17,$H$10,$I$10,$H$9,$I$9,$H$8,$I$8,$H$7,$I$7,$H$6,$I$6,"Unknown category")</f>
        <v>110</v>
      </c>
    </row>
    <row r="18" spans="1:6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_xlfn.SWITCH(D18,1,95, 2, 110, 3,129,4,156,5,"157 and over", "Unknown cateogory")</f>
        <v>157 and over</v>
      </c>
      <c r="F18" t="str" cm="1">
        <f t="array" ref="F18">_xlfn.SWITCH(D18,$H$10,$I$10,$H$9,$I$9,$H$8,$I$8,$H$7,$I$7,$H$6,$I$6,"Unknown category")</f>
        <v>157 and over</v>
      </c>
    </row>
    <row r="19" spans="1:6">
      <c r="A19" t="s">
        <v>40</v>
      </c>
      <c r="B19" t="s">
        <v>41</v>
      </c>
      <c r="C19" s="3">
        <v>594</v>
      </c>
      <c r="D19">
        <v>1</v>
      </c>
      <c r="E19" s="6" cm="1">
        <f t="array" ref="E19">_xlfn.SWITCH(D19,1,95, 2, 110, 3,129,4,156,5,"157 and over", "Unknown cateogory")</f>
        <v>95</v>
      </c>
      <c r="F19" cm="1">
        <f t="array" ref="F19">_xlfn.SWITCH(D19,$H$10,$I$10,$H$9,$I$9,$H$8,$I$8,$H$7,$I$7,$H$6,$I$6,"Unknown category")</f>
        <v>95</v>
      </c>
    </row>
    <row r="20" spans="1:6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_xlfn.SWITCH(D20,1,95, 2, 110, 3,129,4,156,5,"157 and over", "Unknown cateogory")</f>
        <v>157 and over</v>
      </c>
      <c r="F20" t="str" cm="1">
        <f t="array" ref="F20">_xlfn.SWITCH(D20,$H$10,$I$10,$H$9,$I$9,$H$8,$I$8,$H$7,$I$7,$H$6,$I$6,"Unknown category")</f>
        <v>157 and over</v>
      </c>
    </row>
    <row r="21" spans="1:6">
      <c r="A21" t="s">
        <v>44</v>
      </c>
      <c r="B21" t="s">
        <v>45</v>
      </c>
      <c r="C21" s="3">
        <v>7660</v>
      </c>
      <c r="D21">
        <v>3</v>
      </c>
      <c r="E21" s="6" cm="1">
        <f t="array" ref="E21">_xlfn.SWITCH(D21,1,95, 2, 110, 3,129,4,156,5,"157 and over", "Unknown cateogory")</f>
        <v>129</v>
      </c>
      <c r="F21" cm="1">
        <f t="array" ref="F21">_xlfn.SWITCH(D21,$H$10,$I$10,$H$9,$I$9,$H$8,$I$8,$H$7,$I$7,$H$6,$I$6,"Unknown category")</f>
        <v>129</v>
      </c>
    </row>
    <row r="22" spans="1:6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_xlfn.SWITCH(D22,1,95, 2, 110, 3,129,4,156,5,"157 and over", "Unknown cateogory")</f>
        <v>157 and over</v>
      </c>
      <c r="F22" t="str" cm="1">
        <f t="array" ref="F22">_xlfn.SWITCH(D22,$H$10,$I$10,$H$9,$I$9,$H$8,$I$8,$H$7,$I$7,$H$6,$I$6,"Unknown category")</f>
        <v>157 and over</v>
      </c>
    </row>
    <row r="23" spans="1:6">
      <c r="A23" t="s">
        <v>48</v>
      </c>
      <c r="B23" t="s">
        <v>49</v>
      </c>
      <c r="C23" s="3">
        <v>3960</v>
      </c>
      <c r="D23">
        <v>1</v>
      </c>
      <c r="E23" s="6" cm="1">
        <f t="array" ref="E23">_xlfn.SWITCH(D23,1,95, 2, 110, 3,129,4,156,5,"157 and over", "Unknown cateogory")</f>
        <v>95</v>
      </c>
      <c r="F23" cm="1">
        <f t="array" ref="F23">_xlfn.SWITCH(D23,$H$10,$I$10,$H$9,$I$9,$H$8,$I$8,$H$7,$I$7,$H$6,$I$6,"Unknown category")</f>
        <v>95</v>
      </c>
    </row>
    <row r="24" spans="1:6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_xlfn.SWITCH(D24,1,95, 2, 110, 3,129,4,156,5,"157 and over", "Unknown cateogory")</f>
        <v>157 and over</v>
      </c>
      <c r="F24" t="str" cm="1">
        <f t="array" ref="F24">_xlfn.SWITCH(D24,$H$10,$I$10,$H$9,$I$9,$H$8,$I$8,$H$7,$I$7,$H$6,$I$6,"Unknown category")</f>
        <v>157 and over</v>
      </c>
    </row>
    <row r="25" spans="1:6">
      <c r="C25" s="3"/>
      <c r="D25">
        <v>423</v>
      </c>
      <c r="E25" s="6" t="str" cm="1">
        <f t="array" ref="E25">_xlfn.SWITCH(D25,1,95, 2, 110, 3,129,4,156,5,"157 and over", "Unknown cateogory")</f>
        <v>Unknown cateogory</v>
      </c>
      <c r="F25" t="str" cm="1">
        <f t="array" ref="F25">_xlfn.SWITCH(D25,$H$10,$I$10,$H$9,$I$9,$H$8,$I$8,$H$7,$I$7,$H$6,$I$6,"Unknown category")</f>
        <v>Unknown category</v>
      </c>
    </row>
    <row r="26" spans="1:6">
      <c r="C26" s="3"/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A10D2-1FFF-490D-B4DA-8729470684F4}"/>
</file>

<file path=customXml/itemProps2.xml><?xml version="1.0" encoding="utf-8"?>
<ds:datastoreItem xmlns:ds="http://schemas.openxmlformats.org/officeDocument/2006/customXml" ds:itemID="{DCED2CD7-AB5E-404D-849A-F793ABBC6F67}"/>
</file>

<file path=customXml/itemProps3.xml><?xml version="1.0" encoding="utf-8"?>
<ds:datastoreItem xmlns:ds="http://schemas.openxmlformats.org/officeDocument/2006/customXml" ds:itemID="{FF1056E9-45E7-4EE1-B8ED-748AFD02223F}"/>
</file>

<file path=customXml/itemProps4.xml><?xml version="1.0" encoding="utf-8"?>
<ds:datastoreItem xmlns:ds="http://schemas.openxmlformats.org/officeDocument/2006/customXml" ds:itemID="{3D4E24B2-8FB1-41D6-A0B3-EA0C5EC94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Stefan Porosanu</cp:lastModifiedBy>
  <cp:revision/>
  <dcterms:created xsi:type="dcterms:W3CDTF">2017-10-17T14:59:20Z</dcterms:created>
  <dcterms:modified xsi:type="dcterms:W3CDTF">2026-09-16T13:39:22Z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